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產負債表_快照" sheetId="1" state="visible" r:id="rId1"/>
    <sheet xmlns:r="http://schemas.openxmlformats.org/officeDocument/2006/relationships" name="收支摘要" sheetId="2" state="visible" r:id="rId2"/>
    <sheet xmlns:r="http://schemas.openxmlformats.org/officeDocument/2006/relationships" name="月度追蹤_2026" sheetId="3" state="visible" r:id="rId3"/>
    <sheet xmlns:r="http://schemas.openxmlformats.org/officeDocument/2006/relationships" name="年度追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color rgb="00000000"/>
    </font>
    <font>
      <color rgb="0000000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1D6A4A"/>
      </patternFill>
    </fill>
    <fill>
      <patternFill patternType="solid">
        <fgColor rgb="00F3F3F3"/>
      </patternFill>
    </fill>
    <fill>
      <patternFill patternType="solid">
        <fgColor rgb="00D9EAD3"/>
      </patternFill>
    </fill>
    <fill>
      <patternFill patternType="solid">
        <fgColor rgb="00722F37"/>
      </patternFill>
    </fill>
    <fill>
      <patternFill patternType="solid">
        <fgColor rgb="00F4CCCC"/>
      </patternFill>
    </fill>
    <fill>
      <patternFill patternType="solid">
        <fgColor rgb="001B4F72"/>
      </patternFill>
    </fill>
    <fill>
      <patternFill patternType="solid">
        <fgColor rgb="002E7D4F"/>
      </patternFill>
    </fill>
    <fill>
      <patternFill patternType="solid">
        <fgColor rgb="008B263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indent="2"/>
    </xf>
    <xf numFmtId="3" fontId="4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0" customWidth="1" min="4" max="4"/>
  </cols>
  <sheetData>
    <row r="1" ht="30" customHeight="1">
      <c r="A1" s="1" t="inlineStr">
        <is>
          <t>個人資產負債表</t>
        </is>
      </c>
    </row>
    <row r="2" ht="18" customHeight="1">
      <c r="A2" s="2" t="inlineStr">
        <is>
          <t>更新日期：2026-05-04</t>
        </is>
      </c>
    </row>
    <row r="3" ht="20" customHeight="1">
      <c r="A3" s="3" t="inlineStr">
        <is>
          <t>類別</t>
        </is>
      </c>
      <c r="B3" s="3" t="inlineStr">
        <is>
          <t>項目</t>
        </is>
      </c>
      <c r="C3" s="3" t="inlineStr">
        <is>
          <t>金額（新台幣）</t>
        </is>
      </c>
      <c r="D3" s="3" t="inlineStr">
        <is>
          <t>備註</t>
        </is>
      </c>
    </row>
    <row r="4" ht="20" customHeight="1">
      <c r="A4" s="4" t="inlineStr">
        <is>
          <t>【資產】</t>
        </is>
      </c>
      <c r="B4" s="5" t="n"/>
      <c r="C4" s="5" t="n"/>
      <c r="D4" s="6" t="n"/>
    </row>
    <row r="5" ht="20" customHeight="1">
      <c r="A5" s="7" t="inlineStr"/>
      <c r="B5" s="7" t="inlineStr">
        <is>
          <t>流動資產</t>
        </is>
      </c>
      <c r="C5" s="5" t="n"/>
      <c r="D5" s="6" t="n"/>
    </row>
    <row r="6" ht="20" customHeight="1">
      <c r="A6" s="8" t="inlineStr"/>
      <c r="B6" s="9" t="inlineStr">
        <is>
          <t>現金</t>
        </is>
      </c>
      <c r="C6" s="10" t="n"/>
      <c r="D6" s="8" t="inlineStr"/>
    </row>
    <row r="7" ht="20" customHeight="1">
      <c r="A7" s="8" t="inlineStr"/>
      <c r="B7" s="9" t="inlineStr">
        <is>
          <t>銀行存款（活期）</t>
        </is>
      </c>
      <c r="C7" s="10" t="n"/>
      <c r="D7" s="8" t="inlineStr"/>
    </row>
    <row r="8" ht="20" customHeight="1">
      <c r="A8" s="8" t="inlineStr"/>
      <c r="B8" s="9" t="inlineStr">
        <is>
          <t>定期存款</t>
        </is>
      </c>
      <c r="C8" s="10" t="n"/>
      <c r="D8" s="8" t="inlineStr"/>
    </row>
    <row r="9" ht="20" customHeight="1">
      <c r="A9" s="8" t="inlineStr"/>
      <c r="B9" s="9" t="inlineStr">
        <is>
          <t>短期投資－0050 ETF</t>
        </is>
      </c>
      <c r="C9" s="10" t="n"/>
      <c r="D9" s="8" t="inlineStr"/>
    </row>
    <row r="10" ht="20" customHeight="1">
      <c r="A10" s="8" t="inlineStr"/>
      <c r="B10" s="9" t="inlineStr">
        <is>
          <t>應收款項</t>
        </is>
      </c>
      <c r="C10" s="10" t="n"/>
      <c r="D10" s="8" t="inlineStr"/>
    </row>
    <row r="11" ht="20" customHeight="1">
      <c r="A11" s="8" t="inlineStr"/>
      <c r="B11" s="9" t="inlineStr">
        <is>
          <t>其他流動資產</t>
        </is>
      </c>
      <c r="C11" s="10" t="n">
        <v>302380</v>
      </c>
      <c r="D11" s="8" t="inlineStr">
        <is>
          <t>華南銀行黃金存摺（每月投入3,500元）</t>
        </is>
      </c>
    </row>
    <row r="12" ht="20" customHeight="1">
      <c r="A12" s="11" t="inlineStr"/>
      <c r="B12" s="11" t="inlineStr">
        <is>
          <t>流動資產合計</t>
        </is>
      </c>
      <c r="C12" s="12">
        <f>SUM(C6:C11)</f>
        <v/>
      </c>
      <c r="D12" s="11" t="inlineStr"/>
    </row>
    <row r="13" ht="20" customHeight="1">
      <c r="A13" s="7" t="inlineStr"/>
      <c r="B13" s="7" t="inlineStr">
        <is>
          <t>非流動資產</t>
        </is>
      </c>
      <c r="C13" s="5" t="n"/>
      <c r="D13" s="6" t="n"/>
    </row>
    <row r="14" ht="20" customHeight="1">
      <c r="A14" s="8" t="inlineStr"/>
      <c r="B14" s="9" t="inlineStr">
        <is>
          <t>房地產</t>
        </is>
      </c>
      <c r="C14" s="10" t="n"/>
      <c r="D14" s="8" t="inlineStr"/>
    </row>
    <row r="15" ht="20" customHeight="1">
      <c r="A15" s="8" t="inlineStr"/>
      <c r="B15" s="9" t="inlineStr">
        <is>
          <t>車輛</t>
        </is>
      </c>
      <c r="C15" s="10" t="n"/>
      <c r="D15" s="8" t="inlineStr"/>
    </row>
    <row r="16" ht="20" customHeight="1">
      <c r="A16" s="8" t="inlineStr"/>
      <c r="B16" s="9" t="inlineStr">
        <is>
          <t>設備與器材</t>
        </is>
      </c>
      <c r="C16" s="10" t="n"/>
      <c r="D16" s="8" t="inlineStr"/>
    </row>
    <row r="17" ht="20" customHeight="1">
      <c r="A17" s="8" t="inlineStr"/>
      <c r="B17" s="9" t="inlineStr">
        <is>
          <t>鉅鑫管理顧問（股權）</t>
        </is>
      </c>
      <c r="C17" s="10" t="n">
        <v>6600000</v>
      </c>
      <c r="D17" s="8" t="inlineStr">
        <is>
          <t>股本：576萬×2%+84萬×5%，利息9/30領</t>
        </is>
      </c>
    </row>
    <row r="18" ht="20" customHeight="1">
      <c r="A18" s="8" t="inlineStr"/>
      <c r="B18" s="9" t="inlineStr">
        <is>
          <t>鑫酒坊（股權）</t>
        </is>
      </c>
      <c r="C18" s="10" t="n"/>
      <c r="D18" s="8" t="inlineStr">
        <is>
          <t>待評估</t>
        </is>
      </c>
    </row>
    <row r="19" ht="20" customHeight="1">
      <c r="A19" s="8" t="inlineStr"/>
      <c r="B19" s="9" t="inlineStr">
        <is>
          <t>鑫茶坊（股權）</t>
        </is>
      </c>
      <c r="C19" s="10" t="n"/>
      <c r="D19" s="8" t="inlineStr">
        <is>
          <t>待評估</t>
        </is>
      </c>
    </row>
    <row r="20" ht="20" customHeight="1">
      <c r="A20" s="8" t="inlineStr"/>
      <c r="B20" s="9" t="inlineStr">
        <is>
          <t>匠鑫私廚（股權）</t>
        </is>
      </c>
      <c r="C20" s="10" t="n">
        <v>2000000</v>
      </c>
      <c r="D20" s="8" t="inlineStr"/>
    </row>
    <row r="21" ht="20" customHeight="1">
      <c r="A21" s="8" t="inlineStr"/>
      <c r="B21" s="9" t="inlineStr">
        <is>
          <t>龜吼現流活海產（股權）</t>
        </is>
      </c>
      <c r="C21" s="10" t="n"/>
      <c r="D21" s="8" t="inlineStr">
        <is>
          <t>建置中</t>
        </is>
      </c>
    </row>
    <row r="22" ht="20" customHeight="1">
      <c r="A22" s="8" t="inlineStr"/>
      <c r="B22" s="9" t="inlineStr">
        <is>
          <t>其他長期投資</t>
        </is>
      </c>
      <c r="C22" s="10" t="n"/>
      <c r="D22" s="8" t="inlineStr">
        <is>
          <t>保誠人壽保單USD 24,229（預計2032年到期）</t>
        </is>
      </c>
    </row>
    <row r="23" ht="20" customHeight="1">
      <c r="A23" s="11" t="inlineStr"/>
      <c r="B23" s="11" t="inlineStr">
        <is>
          <t>非流動資產合計</t>
        </is>
      </c>
      <c r="C23" s="12">
        <f>SUM(C14:C22)</f>
        <v/>
      </c>
      <c r="D23" s="11" t="inlineStr"/>
    </row>
    <row r="24" ht="22" customHeight="1">
      <c r="A24" s="4" t="inlineStr">
        <is>
          <t>▶ 資產總計</t>
        </is>
      </c>
      <c r="B24" s="6" t="n"/>
      <c r="C24" s="13">
        <f>C12+C23</f>
        <v/>
      </c>
      <c r="D24" s="4" t="inlineStr"/>
    </row>
    <row r="25" ht="20" customHeight="1">
      <c r="A25" s="14" t="inlineStr">
        <is>
          <t>【負債】</t>
        </is>
      </c>
      <c r="B25" s="5" t="n"/>
      <c r="C25" s="5" t="n"/>
      <c r="D25" s="6" t="n"/>
    </row>
    <row r="26" ht="20" customHeight="1">
      <c r="A26" s="7" t="inlineStr"/>
      <c r="B26" s="7" t="inlineStr">
        <is>
          <t>流動負債</t>
        </is>
      </c>
      <c r="C26" s="5" t="n"/>
      <c r="D26" s="6" t="n"/>
    </row>
    <row r="27" ht="20" customHeight="1">
      <c r="A27" s="8" t="inlineStr"/>
      <c r="B27" s="9" t="inlineStr">
        <is>
          <t>信用卡未付款</t>
        </is>
      </c>
      <c r="C27" s="10" t="n"/>
      <c r="D27" s="8" t="inlineStr"/>
    </row>
    <row r="28" ht="20" customHeight="1">
      <c r="A28" s="8" t="inlineStr"/>
      <c r="B28" s="9" t="inlineStr">
        <is>
          <t>短期借款</t>
        </is>
      </c>
      <c r="C28" s="10" t="n"/>
      <c r="D28" s="8" t="inlineStr"/>
    </row>
    <row r="29" ht="20" customHeight="1">
      <c r="A29" s="8" t="inlineStr"/>
      <c r="B29" s="9" t="inlineStr">
        <is>
          <t>應付款項</t>
        </is>
      </c>
      <c r="C29" s="10" t="n"/>
      <c r="D29" s="8" t="inlineStr"/>
    </row>
    <row r="30" ht="20" customHeight="1">
      <c r="A30" s="8" t="inlineStr"/>
      <c r="B30" s="9" t="inlineStr">
        <is>
          <t>其他流動負債</t>
        </is>
      </c>
      <c r="C30" s="10" t="n"/>
      <c r="D30" s="8" t="inlineStr"/>
    </row>
    <row r="31" ht="20" customHeight="1">
      <c r="A31" s="15" t="inlineStr"/>
      <c r="B31" s="15" t="inlineStr">
        <is>
          <t>流動負債合計</t>
        </is>
      </c>
      <c r="C31" s="16">
        <f>SUM(C27:C30)</f>
        <v/>
      </c>
      <c r="D31" s="15" t="inlineStr"/>
    </row>
    <row r="32" ht="20" customHeight="1">
      <c r="A32" s="7" t="inlineStr"/>
      <c r="B32" s="7" t="inlineStr">
        <is>
          <t>非流動負債</t>
        </is>
      </c>
      <c r="C32" s="5" t="n"/>
      <c r="D32" s="6" t="n"/>
    </row>
    <row r="33" ht="20" customHeight="1">
      <c r="A33" s="8" t="inlineStr"/>
      <c r="B33" s="9" t="inlineStr">
        <is>
          <t>房貸餘額</t>
        </is>
      </c>
      <c r="C33" s="10" t="n"/>
      <c r="D33" s="8" t="inlineStr"/>
    </row>
    <row r="34" ht="20" customHeight="1">
      <c r="A34" s="8" t="inlineStr"/>
      <c r="B34" s="9" t="inlineStr">
        <is>
          <t>車貸餘額</t>
        </is>
      </c>
      <c r="C34" s="10" t="n"/>
      <c r="D34" s="8" t="inlineStr"/>
    </row>
    <row r="35" ht="20" customHeight="1">
      <c r="A35" s="8" t="inlineStr"/>
      <c r="B35" s="9" t="inlineStr">
        <is>
          <t>長期借款</t>
        </is>
      </c>
      <c r="C35" s="10" t="n">
        <v>468670</v>
      </c>
      <c r="D35" s="8" t="inlineStr">
        <is>
          <t>玉山銀行信貸，2024/07/29起，7年，年利率4.9%，月還8,452，綁約至2026/07/29</t>
        </is>
      </c>
    </row>
    <row r="36" ht="20" customHeight="1">
      <c r="A36" s="15" t="inlineStr"/>
      <c r="B36" s="15" t="inlineStr">
        <is>
          <t>非流動負債合計</t>
        </is>
      </c>
      <c r="C36" s="16">
        <f>SUM(C33:C35)</f>
        <v/>
      </c>
      <c r="D36" s="15" t="inlineStr"/>
    </row>
    <row r="37" ht="22" customHeight="1">
      <c r="A37" s="14" t="inlineStr">
        <is>
          <t>▶ 負債總計</t>
        </is>
      </c>
      <c r="B37" s="6" t="n"/>
      <c r="C37" s="17">
        <f>C31+C36</f>
        <v/>
      </c>
      <c r="D37" s="14" t="inlineStr"/>
    </row>
    <row r="38" ht="24" customHeight="1">
      <c r="A38" s="18" t="inlineStr">
        <is>
          <t>▶ 淨值（資產－負債）</t>
        </is>
      </c>
      <c r="B38" s="6" t="n"/>
      <c r="C38" s="19">
        <f>C24-C37</f>
        <v/>
      </c>
      <c r="D38" s="18" t="inlineStr"/>
    </row>
  </sheetData>
  <mergeCells count="11">
    <mergeCell ref="A1:D1"/>
    <mergeCell ref="A24:B24"/>
    <mergeCell ref="B5:D5"/>
    <mergeCell ref="A38:B38"/>
    <mergeCell ref="A4:D4"/>
    <mergeCell ref="B32:D32"/>
    <mergeCell ref="B26:D26"/>
    <mergeCell ref="A37:B37"/>
    <mergeCell ref="B13:D13"/>
    <mergeCell ref="A25:D2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22" customWidth="1" min="5" max="5"/>
  </cols>
  <sheetData>
    <row r="1" ht="30" customHeight="1">
      <c r="A1" s="1" t="inlineStr">
        <is>
          <t>個人收支摘要</t>
        </is>
      </c>
    </row>
    <row r="2" ht="22" customHeight="1">
      <c r="A2" s="24" t="inlineStr">
        <is>
          <t>【收入】</t>
        </is>
      </c>
      <c r="B2" s="5" t="n"/>
      <c r="C2" s="5" t="n"/>
      <c r="D2" s="5" t="n"/>
      <c r="E2" s="6" t="n"/>
    </row>
    <row r="3" ht="20" customHeight="1">
      <c r="A3" s="25" t="inlineStr">
        <is>
          <t>項目</t>
        </is>
      </c>
      <c r="B3" s="25" t="inlineStr">
        <is>
          <t>月收入</t>
        </is>
      </c>
      <c r="C3" s="25" t="inlineStr">
        <is>
          <t>年收入</t>
        </is>
      </c>
      <c r="D3" s="25" t="inlineStr">
        <is>
          <t>類型</t>
        </is>
      </c>
      <c r="E3" s="25" t="inlineStr">
        <is>
          <t>備註</t>
        </is>
      </c>
    </row>
    <row r="4" ht="18" customHeight="1">
      <c r="A4" s="8" t="inlineStr">
        <is>
          <t>鉅鑫管理顧問薪資</t>
        </is>
      </c>
      <c r="B4" s="10" t="n">
        <v>38000</v>
      </c>
      <c r="C4" s="10" t="n">
        <v>456000</v>
      </c>
      <c r="D4" s="26" t="inlineStr">
        <is>
          <t>固定</t>
        </is>
      </c>
      <c r="E4" s="8" t="inlineStr">
        <is>
          <t>每月底入帳</t>
        </is>
      </c>
    </row>
    <row r="5" ht="18" customHeight="1">
      <c r="A5" s="8" t="inlineStr">
        <is>
          <t>磊山保險佣金</t>
        </is>
      </c>
      <c r="C5" s="10" t="n">
        <v>200000</v>
      </c>
      <c r="D5" s="26" t="inlineStr">
        <is>
          <t>年度</t>
        </is>
      </c>
      <c r="E5" s="8" t="inlineStr">
        <is>
          <t>年度佣金，月均16,667</t>
        </is>
      </c>
    </row>
    <row r="6" ht="18" customHeight="1">
      <c r="A6" s="8" t="inlineStr">
        <is>
          <t>鉅鑫顧問利息收入</t>
        </is>
      </c>
      <c r="C6" s="10" t="n">
        <v>157200</v>
      </c>
      <c r="D6" s="26" t="inlineStr">
        <is>
          <t>年度</t>
        </is>
      </c>
      <c r="E6" s="8" t="inlineStr">
        <is>
          <t>576萬×2%+84萬×5%，每年9/30領</t>
        </is>
      </c>
    </row>
    <row r="7" ht="18" customHeight="1">
      <c r="A7" s="8" t="inlineStr">
        <is>
          <t>政府幼兒津貼</t>
        </is>
      </c>
      <c r="B7" s="10" t="n">
        <v>5000</v>
      </c>
      <c r="C7" s="10" t="n">
        <v>60000</v>
      </c>
      <c r="D7" s="26" t="inlineStr">
        <is>
          <t>固定</t>
        </is>
      </c>
      <c r="E7" s="8" t="inlineStr">
        <is>
          <t>每月補助</t>
        </is>
      </c>
    </row>
    <row r="8">
      <c r="A8" s="27" t="inlineStr">
        <is>
          <t>月收入合計</t>
        </is>
      </c>
      <c r="B8" s="6" t="n"/>
      <c r="C8" s="12">
        <f>C4+C5+C6+C7</f>
        <v/>
      </c>
      <c r="D8" s="28" t="inlineStr">
        <is>
          <t>（薪資+津貼+佣金月均）</t>
        </is>
      </c>
      <c r="E8" s="6" t="n"/>
    </row>
    <row r="10" ht="22" customHeight="1">
      <c r="A10" s="29" t="inlineStr">
        <is>
          <t>【支出】</t>
        </is>
      </c>
      <c r="B10" s="5" t="n"/>
      <c r="C10" s="5" t="n"/>
      <c r="D10" s="5" t="n"/>
      <c r="E10" s="6" t="n"/>
    </row>
    <row r="11" ht="20" customHeight="1">
      <c r="A11" s="30" t="inlineStr">
        <is>
          <t>項目</t>
        </is>
      </c>
      <c r="B11" s="30" t="inlineStr">
        <is>
          <t>月支出</t>
        </is>
      </c>
      <c r="C11" s="30" t="inlineStr">
        <is>
          <t>年支出</t>
        </is>
      </c>
      <c r="D11" s="30" t="inlineStr">
        <is>
          <t>類型</t>
        </is>
      </c>
      <c r="E11" s="30" t="inlineStr">
        <is>
          <t>備註</t>
        </is>
      </c>
    </row>
    <row r="12" ht="18" customHeight="1">
      <c r="A12" s="8" t="inlineStr">
        <is>
          <t>玉山銀行信貸還款</t>
        </is>
      </c>
      <c r="B12" s="10" t="n">
        <v>8452</v>
      </c>
      <c r="C12" s="10" t="n">
        <v>101424</v>
      </c>
      <c r="D12" s="26" t="inlineStr">
        <is>
          <t>固定</t>
        </is>
      </c>
      <c r="E12" s="8" t="inlineStr">
        <is>
          <t>月還本息8,452，年利率4.9%</t>
        </is>
      </c>
    </row>
    <row r="13" ht="18" customHeight="1">
      <c r="A13" s="8" t="inlineStr">
        <is>
          <t>幼兒園（個人負擔）</t>
        </is>
      </c>
      <c r="B13" s="10" t="n">
        <v>5000</v>
      </c>
      <c r="C13" s="10" t="n">
        <v>60000</v>
      </c>
      <c r="D13" s="26" t="inlineStr">
        <is>
          <t>固定</t>
        </is>
      </c>
      <c r="E13" s="8" t="inlineStr">
        <is>
          <t>月費2,500+學費月均2,500（扣補助後各半）</t>
        </is>
      </c>
    </row>
    <row r="14" ht="18" customHeight="1">
      <c r="A14" s="8" t="inlineStr">
        <is>
          <t>黃金存摺投資</t>
        </is>
      </c>
      <c r="B14" s="10" t="n">
        <v>3500</v>
      </c>
      <c r="C14" s="10" t="n">
        <v>42000</v>
      </c>
      <c r="D14" s="26" t="inlineStr">
        <is>
          <t>固定</t>
        </is>
      </c>
      <c r="E14" s="8" t="inlineStr">
        <is>
          <t>每月投入</t>
        </is>
      </c>
    </row>
    <row r="15" ht="18" customHeight="1">
      <c r="A15" s="8" t="inlineStr">
        <is>
          <t>個人保費</t>
        </is>
      </c>
      <c r="C15" s="10" t="n">
        <v>28960</v>
      </c>
      <c r="D15" s="26" t="inlineStr">
        <is>
          <t>年度</t>
        </is>
      </c>
      <c r="E15" s="8" t="inlineStr">
        <is>
          <t>遠雄16,000+新光12,960</t>
        </is>
      </c>
    </row>
    <row r="16" ht="18" customHeight="1">
      <c r="A16" s="8" t="inlineStr">
        <is>
          <t>子女保費</t>
        </is>
      </c>
      <c r="C16" s="10" t="n">
        <v>24856</v>
      </c>
      <c r="D16" s="26" t="inlineStr">
        <is>
          <t>年度</t>
        </is>
      </c>
      <c r="E16" s="8" t="inlineStr">
        <is>
          <t>遠雄9,208+台灣人壽15,648</t>
        </is>
      </c>
    </row>
    <row r="17" ht="18" customHeight="1">
      <c r="A17" s="8" t="inlineStr">
        <is>
          <t>保誠教育金</t>
        </is>
      </c>
      <c r="C17" s="10" t="n">
        <v>32000</v>
      </c>
      <c r="D17" s="26" t="inlineStr">
        <is>
          <t>年度</t>
        </is>
      </c>
      <c r="E17" s="8" t="inlineStr">
        <is>
          <t>USD 1,000/年（約32,000元）</t>
        </is>
      </c>
    </row>
    <row r="18" ht="18" customHeight="1">
      <c r="A18" s="8" t="inlineStr">
        <is>
          <t>汽車保養</t>
        </is>
      </c>
      <c r="C18" s="10" t="n">
        <v>20000</v>
      </c>
      <c r="D18" s="26" t="inlineStr">
        <is>
          <t>年度</t>
        </is>
      </c>
      <c r="E18" s="8" t="inlineStr">
        <is>
          <t>每半年10,000，共2次</t>
        </is>
      </c>
    </row>
    <row r="19" ht="18" customHeight="1">
      <c r="A19" s="8" t="inlineStr">
        <is>
          <t>AI 學習應用</t>
        </is>
      </c>
      <c r="B19" s="6" t="n"/>
      <c r="C19" s="10" t="n">
        <v>29560</v>
      </c>
      <c r="D19" s="26" t="inlineStr">
        <is>
          <t>固定</t>
        </is>
      </c>
      <c r="E19" s="6" t="n"/>
      <c r="F19" t="inlineStr">
        <is>
          <t>Kling 895/月 + 其他；已移除 Vllo 380/年</t>
        </is>
      </c>
    </row>
    <row r="20" ht="18" customHeight="1">
      <c r="A20" s="8" t="inlineStr">
        <is>
          <t>生活日常花費</t>
        </is>
      </c>
      <c r="B20" s="10" t="n">
        <v>28333</v>
      </c>
      <c r="C20" s="10" t="n">
        <v>340000</v>
      </c>
      <c r="D20" s="26" t="inlineStr">
        <is>
          <t>年度</t>
        </is>
      </c>
      <c r="E20" s="8" t="inlineStr">
        <is>
          <t>年度概估，月均28,333元</t>
        </is>
      </c>
    </row>
    <row r="21" ht="18" customHeight="1">
      <c r="A21" s="8" t="inlineStr">
        <is>
          <t>汽車加油費</t>
        </is>
      </c>
      <c r="B21" s="6" t="n"/>
      <c r="C21" s="10" t="n">
        <v>72000</v>
      </c>
      <c r="D21" s="26" t="inlineStr">
        <is>
          <t>固定</t>
        </is>
      </c>
      <c r="E21" s="6" t="n"/>
    </row>
    <row r="22" ht="18" customHeight="1">
      <c r="A22" s="8" t="inlineStr">
        <is>
          <t>孝親費</t>
        </is>
      </c>
      <c r="B22" s="10" t="n">
        <v>10000</v>
      </c>
      <c r="C22" s="10" t="n">
        <v>120000</v>
      </c>
      <c r="D22" s="26" t="inlineStr">
        <is>
          <t>固定</t>
        </is>
      </c>
      <c r="E22" s="8" t="inlineStr">
        <is>
          <t>每月固定10,000元</t>
        </is>
      </c>
    </row>
    <row r="23">
      <c r="A23" t="inlineStr">
        <is>
          <t>中城網路扶輪社社費</t>
        </is>
      </c>
      <c r="B23" t="n">
        <v>3500</v>
      </c>
      <c r="C23" t="n">
        <v>42000</v>
      </c>
      <c r="D23" t="inlineStr">
        <is>
          <t>固定</t>
        </is>
      </c>
      <c r="E23" t="inlineStr">
        <is>
          <t>每月固定</t>
        </is>
      </c>
    </row>
    <row r="24">
      <c r="A24" s="31" t="inlineStr">
        <is>
          <t>月支出合計</t>
        </is>
      </c>
      <c r="B24" s="6" t="n"/>
      <c r="C24" s="16">
        <f>C12+C13+C14+C15+C16+C17+C18+C19+C20+C21+C22+C23</f>
        <v/>
      </c>
      <c r="D24" s="32" t="inlineStr">
        <is>
          <t>（固定月支出+年度支出月均）</t>
        </is>
      </c>
      <c r="E24" s="6" t="n"/>
    </row>
    <row r="26">
      <c r="A26" s="33" t="inlineStr">
        <is>
          <t>▶ 月淨結餘</t>
        </is>
      </c>
      <c r="B26" s="6" t="n"/>
      <c r="C26" s="19">
        <f>C8-C24</f>
        <v/>
      </c>
      <c r="D26" s="33" t="inlineStr">
        <is>
          <t>收入－支出（月均）</t>
        </is>
      </c>
      <c r="E26" s="6" t="n"/>
    </row>
  </sheetData>
  <mergeCells count="9">
    <mergeCell ref="D8:E8"/>
    <mergeCell ref="A21:B21"/>
    <mergeCell ref="A2:E2"/>
    <mergeCell ref="D19:E19"/>
    <mergeCell ref="A10:E10"/>
    <mergeCell ref="A19:B19"/>
    <mergeCell ref="A1:E1"/>
    <mergeCell ref="A8:B8"/>
    <mergeCell ref="D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22" customHeight="1">
      <c r="A1" s="20" t="inlineStr">
        <is>
          <t>年月</t>
        </is>
      </c>
      <c r="B1" s="20" t="inlineStr">
        <is>
          <t>流動資產</t>
        </is>
      </c>
      <c r="C1" s="20" t="inlineStr">
        <is>
          <t>非流動資產</t>
        </is>
      </c>
      <c r="D1" s="20" t="inlineStr">
        <is>
          <t>資產總計</t>
        </is>
      </c>
      <c r="E1" s="20" t="inlineStr">
        <is>
          <t>流動負債</t>
        </is>
      </c>
      <c r="F1" s="20" t="inlineStr">
        <is>
          <t>非流動負債</t>
        </is>
      </c>
      <c r="G1" s="20" t="inlineStr">
        <is>
          <t>負債總計</t>
        </is>
      </c>
      <c r="H1" s="20" t="inlineStr">
        <is>
          <t>淨值</t>
        </is>
      </c>
      <c r="I1" s="20" t="inlineStr">
        <is>
          <t>月增減</t>
        </is>
      </c>
      <c r="J1" s="20" t="inlineStr">
        <is>
          <t>備註</t>
        </is>
      </c>
    </row>
    <row r="2">
      <c r="A2" s="21" t="inlineStr">
        <is>
          <t>2026-01</t>
        </is>
      </c>
      <c r="B2" s="22" t="n"/>
      <c r="C2" s="22" t="n"/>
      <c r="D2" s="22">
        <f>B2+C2</f>
        <v/>
      </c>
      <c r="E2" s="22" t="n"/>
      <c r="F2" s="22" t="n"/>
      <c r="G2" s="22">
        <f>E2+F2</f>
        <v/>
      </c>
      <c r="H2" s="22">
        <f>D2-G2</f>
        <v/>
      </c>
      <c r="I2" s="23" t="n"/>
      <c r="J2" s="23" t="n"/>
    </row>
    <row r="3">
      <c r="A3" s="21" t="inlineStr">
        <is>
          <t>2026-02</t>
        </is>
      </c>
      <c r="B3" s="22" t="n"/>
      <c r="C3" s="22" t="n"/>
      <c r="D3" s="22">
        <f>B3+C3</f>
        <v/>
      </c>
      <c r="E3" s="22" t="n"/>
      <c r="F3" s="22" t="n"/>
      <c r="G3" s="22">
        <f>E3+F3</f>
        <v/>
      </c>
      <c r="H3" s="22">
        <f>D3-G3</f>
        <v/>
      </c>
      <c r="I3" s="22">
        <f>H3-H2</f>
        <v/>
      </c>
      <c r="J3" s="23" t="n"/>
    </row>
    <row r="4">
      <c r="A4" s="21" t="inlineStr">
        <is>
          <t>2026-03</t>
        </is>
      </c>
      <c r="B4" s="22" t="n"/>
      <c r="C4" s="22" t="n"/>
      <c r="D4" s="22">
        <f>B4+C4</f>
        <v/>
      </c>
      <c r="E4" s="22" t="n"/>
      <c r="F4" s="22" t="n"/>
      <c r="G4" s="22">
        <f>E4+F4</f>
        <v/>
      </c>
      <c r="H4" s="22">
        <f>D4-G4</f>
        <v/>
      </c>
      <c r="I4" s="22">
        <f>H4-H3</f>
        <v/>
      </c>
      <c r="J4" s="23" t="n"/>
    </row>
    <row r="5">
      <c r="A5" s="21" t="inlineStr">
        <is>
          <t>2026-04</t>
        </is>
      </c>
      <c r="B5" s="22" t="n"/>
      <c r="C5" s="22" t="n"/>
      <c r="D5" s="22">
        <f>B5+C5</f>
        <v/>
      </c>
      <c r="E5" s="22" t="n"/>
      <c r="F5" s="22" t="n"/>
      <c r="G5" s="22">
        <f>E5+F5</f>
        <v/>
      </c>
      <c r="H5" s="22">
        <f>D5-G5</f>
        <v/>
      </c>
      <c r="I5" s="22">
        <f>H5-H4</f>
        <v/>
      </c>
      <c r="J5" s="23" t="n"/>
    </row>
    <row r="6">
      <c r="A6" s="21" t="inlineStr">
        <is>
          <t>2026-05</t>
        </is>
      </c>
      <c r="B6" s="22" t="n">
        <v>302380</v>
      </c>
      <c r="C6" s="22" t="n">
        <v>8600000</v>
      </c>
      <c r="D6" s="22">
        <f>B6+C6</f>
        <v/>
      </c>
      <c r="E6" s="22" t="n">
        <v>0</v>
      </c>
      <c r="F6" s="22" t="n">
        <v>468670</v>
      </c>
      <c r="G6" s="22">
        <f>E6+F6</f>
        <v/>
      </c>
      <c r="H6" s="22">
        <f>D6-G6</f>
        <v/>
      </c>
      <c r="I6" s="22">
        <f>H6-H5</f>
        <v/>
      </c>
      <c r="J6" s="23" t="inlineStr">
        <is>
          <t>首次建立（快照日期2026-05-04）</t>
        </is>
      </c>
    </row>
    <row r="7">
      <c r="A7" s="21" t="inlineStr">
        <is>
          <t>2026-06</t>
        </is>
      </c>
      <c r="B7" s="22" t="n"/>
      <c r="C7" s="22" t="n"/>
      <c r="D7" s="22">
        <f>B7+C7</f>
        <v/>
      </c>
      <c r="E7" s="22" t="n"/>
      <c r="F7" s="22" t="n"/>
      <c r="G7" s="22">
        <f>E7+F7</f>
        <v/>
      </c>
      <c r="H7" s="22">
        <f>D7-G7</f>
        <v/>
      </c>
      <c r="I7" s="22">
        <f>H7-H6</f>
        <v/>
      </c>
      <c r="J7" s="23" t="n"/>
    </row>
    <row r="8">
      <c r="A8" s="21" t="inlineStr">
        <is>
          <t>2026-07</t>
        </is>
      </c>
      <c r="B8" s="22" t="n"/>
      <c r="C8" s="22" t="n"/>
      <c r="D8" s="22">
        <f>B8+C8</f>
        <v/>
      </c>
      <c r="E8" s="22" t="n"/>
      <c r="F8" s="22" t="n"/>
      <c r="G8" s="22">
        <f>E8+F8</f>
        <v/>
      </c>
      <c r="H8" s="22">
        <f>D8-G8</f>
        <v/>
      </c>
      <c r="I8" s="22">
        <f>H8-H7</f>
        <v/>
      </c>
      <c r="J8" s="23" t="n"/>
    </row>
    <row r="9">
      <c r="A9" s="21" t="inlineStr">
        <is>
          <t>2026-08</t>
        </is>
      </c>
      <c r="B9" s="22" t="n"/>
      <c r="C9" s="22" t="n"/>
      <c r="D9" s="22">
        <f>B9+C9</f>
        <v/>
      </c>
      <c r="E9" s="22" t="n"/>
      <c r="F9" s="22" t="n"/>
      <c r="G9" s="22">
        <f>E9+F9</f>
        <v/>
      </c>
      <c r="H9" s="22">
        <f>D9-G9</f>
        <v/>
      </c>
      <c r="I9" s="22">
        <f>H9-H8</f>
        <v/>
      </c>
      <c r="J9" s="23" t="n"/>
    </row>
    <row r="10">
      <c r="A10" s="21" t="inlineStr">
        <is>
          <t>2026-09</t>
        </is>
      </c>
      <c r="B10" s="22" t="n"/>
      <c r="C10" s="22" t="n"/>
      <c r="D10" s="22">
        <f>B10+C10</f>
        <v/>
      </c>
      <c r="E10" s="22" t="n"/>
      <c r="F10" s="22" t="n"/>
      <c r="G10" s="22">
        <f>E10+F10</f>
        <v/>
      </c>
      <c r="H10" s="22">
        <f>D10-G10</f>
        <v/>
      </c>
      <c r="I10" s="22">
        <f>H10-H9</f>
        <v/>
      </c>
      <c r="J10" s="23" t="n"/>
    </row>
    <row r="11">
      <c r="A11" s="21" t="inlineStr">
        <is>
          <t>2026-10</t>
        </is>
      </c>
      <c r="B11" s="22" t="n"/>
      <c r="C11" s="22" t="n"/>
      <c r="D11" s="22">
        <f>B11+C11</f>
        <v/>
      </c>
      <c r="E11" s="22" t="n"/>
      <c r="F11" s="22" t="n"/>
      <c r="G11" s="22">
        <f>E11+F11</f>
        <v/>
      </c>
      <c r="H11" s="22">
        <f>D11-G11</f>
        <v/>
      </c>
      <c r="I11" s="22">
        <f>H11-H10</f>
        <v/>
      </c>
      <c r="J11" s="23" t="n"/>
    </row>
    <row r="12">
      <c r="A12" s="21" t="inlineStr">
        <is>
          <t>2026-11</t>
        </is>
      </c>
      <c r="B12" s="22" t="n"/>
      <c r="C12" s="22" t="n"/>
      <c r="D12" s="22">
        <f>B12+C12</f>
        <v/>
      </c>
      <c r="E12" s="22" t="n"/>
      <c r="F12" s="22" t="n"/>
      <c r="G12" s="22">
        <f>E12+F12</f>
        <v/>
      </c>
      <c r="H12" s="22">
        <f>D12-G12</f>
        <v/>
      </c>
      <c r="I12" s="22">
        <f>H12-H11</f>
        <v/>
      </c>
      <c r="J12" s="23" t="n"/>
    </row>
    <row r="13">
      <c r="A13" s="21" t="inlineStr">
        <is>
          <t>2026-12</t>
        </is>
      </c>
      <c r="B13" s="22" t="n"/>
      <c r="C13" s="22" t="n"/>
      <c r="D13" s="22">
        <f>B13+C13</f>
        <v/>
      </c>
      <c r="E13" s="22" t="n"/>
      <c r="F13" s="22" t="n"/>
      <c r="G13" s="22">
        <f>E13+F13</f>
        <v/>
      </c>
      <c r="H13" s="22">
        <f>D13-G13</f>
        <v/>
      </c>
      <c r="I13" s="22">
        <f>H13-H12</f>
        <v/>
      </c>
      <c r="J13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22" customHeight="1">
      <c r="A1" s="20" t="inlineStr">
        <is>
          <t>年月</t>
        </is>
      </c>
      <c r="B1" s="20" t="inlineStr">
        <is>
          <t>流動資產</t>
        </is>
      </c>
      <c r="C1" s="20" t="inlineStr">
        <is>
          <t>非流動資產</t>
        </is>
      </c>
      <c r="D1" s="20" t="inlineStr">
        <is>
          <t>資產總計</t>
        </is>
      </c>
      <c r="E1" s="20" t="inlineStr">
        <is>
          <t>流動負債</t>
        </is>
      </c>
      <c r="F1" s="20" t="inlineStr">
        <is>
          <t>非流動負債</t>
        </is>
      </c>
      <c r="G1" s="20" t="inlineStr">
        <is>
          <t>負債總計</t>
        </is>
      </c>
      <c r="H1" s="20" t="inlineStr">
        <is>
          <t>淨值</t>
        </is>
      </c>
      <c r="I1" s="20" t="inlineStr">
        <is>
          <t>年增減</t>
        </is>
      </c>
      <c r="J1" s="20" t="inlineStr">
        <is>
          <t>備註</t>
        </is>
      </c>
    </row>
    <row r="2">
      <c r="A2" s="21" t="inlineStr">
        <is>
          <t>2024</t>
        </is>
      </c>
      <c r="B2" s="22" t="n"/>
      <c r="C2" s="22" t="n"/>
      <c r="D2" s="22">
        <f>B2+C2</f>
        <v/>
      </c>
      <c r="E2" s="22" t="n"/>
      <c r="F2" s="22" t="n"/>
      <c r="G2" s="22">
        <f>E2+F2</f>
        <v/>
      </c>
      <c r="H2" s="22">
        <f>D2-G2</f>
        <v/>
      </c>
      <c r="I2" s="23" t="n"/>
      <c r="J2" s="23" t="n"/>
    </row>
    <row r="3">
      <c r="A3" s="21" t="inlineStr">
        <is>
          <t>2025</t>
        </is>
      </c>
      <c r="B3" s="22" t="n"/>
      <c r="C3" s="22" t="n"/>
      <c r="D3" s="22">
        <f>B3+C3</f>
        <v/>
      </c>
      <c r="E3" s="22" t="n"/>
      <c r="F3" s="22" t="n"/>
      <c r="G3" s="22">
        <f>E3+F3</f>
        <v/>
      </c>
      <c r="H3" s="22">
        <f>D3-G3</f>
        <v/>
      </c>
      <c r="I3" s="22">
        <f>H3-H2</f>
        <v/>
      </c>
      <c r="J3" s="23" t="n"/>
    </row>
    <row r="4">
      <c r="A4" s="21" t="inlineStr">
        <is>
          <t>2026</t>
        </is>
      </c>
      <c r="B4" s="22" t="n">
        <v>302380</v>
      </c>
      <c r="C4" s="22" t="n">
        <v>8600000</v>
      </c>
      <c r="D4" s="22">
        <f>B4+C4</f>
        <v/>
      </c>
      <c r="E4" s="22" t="n">
        <v>0</v>
      </c>
      <c r="F4" s="22" t="n">
        <v>468670</v>
      </c>
      <c r="G4" s="22">
        <f>E4+F4</f>
        <v/>
      </c>
      <c r="H4" s="22">
        <f>D4-G4</f>
        <v/>
      </c>
      <c r="I4" s="22">
        <f>H4-H3</f>
        <v/>
      </c>
      <c r="J4" s="23" t="inlineStr">
        <is>
          <t>2026-05-04 建立</t>
        </is>
      </c>
    </row>
    <row r="5">
      <c r="A5" s="21" t="inlineStr">
        <is>
          <t>2027</t>
        </is>
      </c>
      <c r="B5" s="22" t="n"/>
      <c r="C5" s="22" t="n"/>
      <c r="D5" s="22">
        <f>B5+C5</f>
        <v/>
      </c>
      <c r="E5" s="22" t="n"/>
      <c r="F5" s="22" t="n"/>
      <c r="G5" s="22">
        <f>E5+F5</f>
        <v/>
      </c>
      <c r="H5" s="22">
        <f>D5-G5</f>
        <v/>
      </c>
      <c r="I5" s="22">
        <f>H5-H4</f>
        <v/>
      </c>
      <c r="J5" s="23" t="n"/>
    </row>
    <row r="6">
      <c r="A6" s="21" t="inlineStr">
        <is>
          <t>2028</t>
        </is>
      </c>
      <c r="B6" s="22" t="n"/>
      <c r="C6" s="22" t="n"/>
      <c r="D6" s="22">
        <f>B6+C6</f>
        <v/>
      </c>
      <c r="E6" s="22" t="n"/>
      <c r="F6" s="22" t="n"/>
      <c r="G6" s="22">
        <f>E6+F6</f>
        <v/>
      </c>
      <c r="H6" s="22">
        <f>D6-G6</f>
        <v/>
      </c>
      <c r="I6" s="22">
        <f>H6-H5</f>
        <v/>
      </c>
      <c r="J6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2026-05-03T16:47:58Z</dcterms:created>
  <dcterms:modified xmlns:dcterms="http://purl.org/dc/terms/" xmlns:xsi="http://www.w3.org/2001/XMLSchema-instance" xsi:type="dcterms:W3CDTF">2026-06-05T03:24:21Z</dcterms:modified>
</cp:coreProperties>
</file>